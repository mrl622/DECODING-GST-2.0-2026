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4" i="1"/>
  <c r="I10"/>
  <c r="I9"/>
  <c r="I8"/>
  <c r="I7"/>
  <c r="I6"/>
  <c r="I5"/>
  <c r="I3"/>
  <c r="I2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2"/>
  <c r="D4"/>
  <c r="D5"/>
  <c r="D6"/>
  <c r="D7"/>
  <c r="D8"/>
  <c r="D9"/>
  <c r="D10"/>
  <c r="D11"/>
  <c r="D12"/>
  <c r="D13"/>
  <c r="D14"/>
  <c r="D15"/>
  <c r="D3"/>
  <c r="D2"/>
  <c r="D16"/>
  <c r="D17"/>
  <c r="D18"/>
  <c r="D19"/>
  <c r="D20"/>
  <c r="D21"/>
  <c r="D22"/>
  <c r="D23"/>
  <c r="D24"/>
  <c r="D25"/>
  <c r="D26"/>
  <c r="D27"/>
  <c r="D28"/>
  <c r="D29"/>
  <c r="D30"/>
</calcChain>
</file>

<file path=xl/sharedStrings.xml><?xml version="1.0" encoding="utf-8"?>
<sst xmlns="http://schemas.openxmlformats.org/spreadsheetml/2006/main" count="38" uniqueCount="38">
  <si>
    <t>ITEM NAME</t>
  </si>
  <si>
    <t>BASE COST</t>
  </si>
  <si>
    <t>GST RATE%</t>
  </si>
  <si>
    <t>GST AMOUNT</t>
  </si>
  <si>
    <t>TOTEL SELLING PRICE</t>
  </si>
  <si>
    <t>SHAMPOO</t>
  </si>
  <si>
    <t>SOAP</t>
  </si>
  <si>
    <t>PASTE</t>
  </si>
  <si>
    <t>RICE</t>
  </si>
  <si>
    <t>VEGITABLES</t>
  </si>
  <si>
    <t>SALT</t>
  </si>
  <si>
    <t>CLOTH</t>
  </si>
  <si>
    <t>FURNUTURE</t>
  </si>
  <si>
    <t>ALCHOHOLE</t>
  </si>
  <si>
    <t xml:space="preserve"> SMART PHONE</t>
  </si>
  <si>
    <t>NOTE BOOKS</t>
  </si>
  <si>
    <t>PEN</t>
  </si>
  <si>
    <t>BAG</t>
  </si>
  <si>
    <t>MILK&amp;CURD</t>
  </si>
  <si>
    <t>PANEER</t>
  </si>
  <si>
    <t>EDIBLE OIL</t>
  </si>
  <si>
    <t>LIC</t>
  </si>
  <si>
    <t>WATER HEATER</t>
  </si>
  <si>
    <t>FOOTEWAR</t>
  </si>
  <si>
    <t>PROCESSED FOOD</t>
  </si>
  <si>
    <t>LAPTOP&amp;COMPUTER</t>
  </si>
  <si>
    <t>CEMENT</t>
  </si>
  <si>
    <t>MOTORCYCLE</t>
  </si>
  <si>
    <t>AERATED DRINKS</t>
  </si>
  <si>
    <t>TOBACCO PRODUCTS</t>
  </si>
  <si>
    <t>ONLINE GAMING</t>
  </si>
  <si>
    <t>HOTEL ROOM</t>
  </si>
  <si>
    <t>RESTAURANTS</t>
  </si>
  <si>
    <t>BRUSH</t>
  </si>
  <si>
    <t>PURCHASE PRICE</t>
  </si>
  <si>
    <t>SELLING PRICE</t>
  </si>
  <si>
    <t>GROSS PROFIT</t>
  </si>
  <si>
    <t>MARGIN %</t>
  </si>
</sst>
</file>

<file path=xl/styles.xml><?xml version="1.0" encoding="utf-8"?>
<styleSheet xmlns="http://schemas.openxmlformats.org/spreadsheetml/2006/main">
  <numFmts count="1">
    <numFmt numFmtId="44" formatCode="_ &quot;₹&quot;\ * #,##0.00_ ;_ &quot;₹&quot;\ * \-#,##0.00_ ;_ &quot;₹&quot;\ * &quot;-&quot;??_ ;_ @_ 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4" fontId="0" fillId="0" borderId="1" xfId="1" applyNumberFormat="1" applyFont="1" applyBorder="1"/>
    <xf numFmtId="4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>
      <selection activeCell="K1" sqref="K1"/>
    </sheetView>
  </sheetViews>
  <sheetFormatPr defaultRowHeight="15"/>
  <cols>
    <col min="1" max="1" width="18.7109375" style="1" customWidth="1"/>
    <col min="2" max="2" width="11.7109375" style="2" customWidth="1"/>
    <col min="3" max="3" width="10.7109375" style="1" bestFit="1" customWidth="1"/>
    <col min="4" max="4" width="13.7109375" style="2" customWidth="1"/>
    <col min="5" max="5" width="19.140625" style="2" customWidth="1"/>
    <col min="6" max="6" width="15.42578125" style="2" customWidth="1"/>
    <col min="7" max="7" width="13" style="2" customWidth="1"/>
    <col min="8" max="8" width="13.85546875" style="1" customWidth="1"/>
    <col min="9" max="9" width="12.140625" style="5" customWidth="1"/>
    <col min="10" max="11" width="9.140625" style="1"/>
    <col min="12" max="12" width="15.140625" style="1" customWidth="1"/>
    <col min="13" max="16384" width="9.140625" style="1"/>
  </cols>
  <sheetData>
    <row r="1" spans="1:9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34</v>
      </c>
      <c r="G1" s="2" t="s">
        <v>35</v>
      </c>
      <c r="H1" s="2" t="s">
        <v>36</v>
      </c>
      <c r="I1" s="4" t="s">
        <v>37</v>
      </c>
    </row>
    <row r="2" spans="1:9">
      <c r="A2" s="1" t="s">
        <v>5</v>
      </c>
      <c r="B2" s="2">
        <v>250</v>
      </c>
      <c r="C2" s="1">
        <v>5</v>
      </c>
      <c r="D2" s="2">
        <f>B2*C2/100</f>
        <v>12.5</v>
      </c>
      <c r="E2" s="2">
        <f>B2+D2</f>
        <v>262.5</v>
      </c>
      <c r="F2" s="2">
        <v>215</v>
      </c>
      <c r="G2" s="2">
        <v>250</v>
      </c>
      <c r="H2" s="3">
        <f>G2-F2</f>
        <v>35</v>
      </c>
      <c r="I2" s="5">
        <f>(H2/G2)*100</f>
        <v>14.000000000000002</v>
      </c>
    </row>
    <row r="3" spans="1:9">
      <c r="A3" s="1" t="s">
        <v>6</v>
      </c>
      <c r="B3" s="2">
        <v>40</v>
      </c>
      <c r="C3" s="1">
        <v>5</v>
      </c>
      <c r="D3" s="2">
        <f>B3*C3/100</f>
        <v>2</v>
      </c>
      <c r="E3" s="2">
        <f t="shared" ref="E3:E30" si="0">B3+D3</f>
        <v>42</v>
      </c>
      <c r="F3" s="2">
        <v>35</v>
      </c>
      <c r="G3" s="2">
        <v>40</v>
      </c>
      <c r="H3" s="3">
        <f t="shared" ref="H3:H30" si="1">G3-F3</f>
        <v>5</v>
      </c>
      <c r="I3" s="5">
        <f t="shared" ref="I3:I10" si="2">(H3/G3)*100</f>
        <v>12.5</v>
      </c>
    </row>
    <row r="4" spans="1:9">
      <c r="A4" s="1" t="s">
        <v>33</v>
      </c>
      <c r="B4" s="2">
        <v>30</v>
      </c>
      <c r="C4" s="1">
        <v>5</v>
      </c>
      <c r="D4" s="2">
        <f t="shared" ref="D4:D15" si="3">B4*C4/100</f>
        <v>1.5</v>
      </c>
      <c r="E4" s="2">
        <f t="shared" si="0"/>
        <v>31.5</v>
      </c>
      <c r="F4" s="2">
        <v>25</v>
      </c>
      <c r="G4" s="2">
        <v>30</v>
      </c>
      <c r="H4" s="3">
        <f t="shared" si="1"/>
        <v>5</v>
      </c>
      <c r="I4" s="5">
        <f>(H4/G4)*100</f>
        <v>16.666666666666664</v>
      </c>
    </row>
    <row r="5" spans="1:9">
      <c r="A5" s="1" t="s">
        <v>7</v>
      </c>
      <c r="B5" s="2">
        <v>90</v>
      </c>
      <c r="C5" s="1">
        <v>5</v>
      </c>
      <c r="D5" s="2">
        <f t="shared" si="3"/>
        <v>4.5</v>
      </c>
      <c r="E5" s="2">
        <f t="shared" si="0"/>
        <v>94.5</v>
      </c>
      <c r="F5" s="2">
        <v>75</v>
      </c>
      <c r="G5" s="2">
        <v>90</v>
      </c>
      <c r="H5" s="3">
        <f t="shared" si="1"/>
        <v>15</v>
      </c>
      <c r="I5" s="5">
        <f t="shared" si="2"/>
        <v>16.666666666666664</v>
      </c>
    </row>
    <row r="6" spans="1:9">
      <c r="A6" s="1" t="s">
        <v>8</v>
      </c>
      <c r="B6" s="2">
        <v>60</v>
      </c>
      <c r="C6" s="1">
        <v>0</v>
      </c>
      <c r="D6" s="2">
        <f t="shared" si="3"/>
        <v>0</v>
      </c>
      <c r="E6" s="2">
        <f t="shared" si="0"/>
        <v>60</v>
      </c>
      <c r="F6" s="2">
        <v>54</v>
      </c>
      <c r="G6" s="2">
        <v>60</v>
      </c>
      <c r="H6" s="3">
        <f t="shared" si="1"/>
        <v>6</v>
      </c>
      <c r="I6" s="5">
        <f t="shared" si="2"/>
        <v>10</v>
      </c>
    </row>
    <row r="7" spans="1:9">
      <c r="A7" s="1" t="s">
        <v>9</v>
      </c>
      <c r="B7" s="2">
        <v>40</v>
      </c>
      <c r="C7" s="1">
        <v>0</v>
      </c>
      <c r="D7" s="2">
        <f t="shared" si="3"/>
        <v>0</v>
      </c>
      <c r="E7" s="2">
        <f t="shared" si="0"/>
        <v>40</v>
      </c>
      <c r="F7" s="2">
        <v>30</v>
      </c>
      <c r="G7" s="2">
        <v>40</v>
      </c>
      <c r="H7" s="3">
        <f t="shared" si="1"/>
        <v>10</v>
      </c>
      <c r="I7" s="5">
        <f t="shared" si="2"/>
        <v>25</v>
      </c>
    </row>
    <row r="8" spans="1:9">
      <c r="A8" s="1" t="s">
        <v>10</v>
      </c>
      <c r="B8" s="2">
        <v>25</v>
      </c>
      <c r="C8" s="1">
        <v>0</v>
      </c>
      <c r="D8" s="2">
        <f t="shared" si="3"/>
        <v>0</v>
      </c>
      <c r="E8" s="2">
        <f t="shared" si="0"/>
        <v>25</v>
      </c>
      <c r="F8" s="2">
        <v>20</v>
      </c>
      <c r="G8" s="2">
        <v>25</v>
      </c>
      <c r="H8" s="3">
        <f t="shared" si="1"/>
        <v>5</v>
      </c>
      <c r="I8" s="5">
        <f t="shared" si="2"/>
        <v>20</v>
      </c>
    </row>
    <row r="9" spans="1:9">
      <c r="A9" s="1" t="s">
        <v>11</v>
      </c>
      <c r="B9" s="2">
        <v>1200</v>
      </c>
      <c r="C9" s="1">
        <v>5</v>
      </c>
      <c r="D9" s="2">
        <f t="shared" si="3"/>
        <v>60</v>
      </c>
      <c r="E9" s="2">
        <f t="shared" si="0"/>
        <v>1260</v>
      </c>
      <c r="F9" s="2">
        <v>900</v>
      </c>
      <c r="G9" s="2">
        <v>1200</v>
      </c>
      <c r="H9" s="3">
        <f t="shared" si="1"/>
        <v>300</v>
      </c>
      <c r="I9" s="5">
        <f t="shared" si="2"/>
        <v>25</v>
      </c>
    </row>
    <row r="10" spans="1:9">
      <c r="A10" s="1" t="s">
        <v>12</v>
      </c>
      <c r="B10" s="2">
        <v>15000</v>
      </c>
      <c r="C10" s="1">
        <v>18</v>
      </c>
      <c r="D10" s="2">
        <f t="shared" si="3"/>
        <v>2700</v>
      </c>
      <c r="E10" s="2">
        <f t="shared" si="0"/>
        <v>17700</v>
      </c>
      <c r="F10" s="2">
        <v>11500</v>
      </c>
      <c r="G10" s="2">
        <v>15000</v>
      </c>
      <c r="H10" s="3">
        <f t="shared" si="1"/>
        <v>3500</v>
      </c>
      <c r="I10" s="5">
        <f t="shared" si="2"/>
        <v>23.333333333333332</v>
      </c>
    </row>
    <row r="11" spans="1:9">
      <c r="A11" s="1" t="s">
        <v>14</v>
      </c>
      <c r="B11" s="2">
        <v>20000</v>
      </c>
      <c r="C11" s="1">
        <v>18</v>
      </c>
      <c r="D11" s="2">
        <f t="shared" si="3"/>
        <v>3600</v>
      </c>
      <c r="E11" s="2">
        <f t="shared" si="0"/>
        <v>23600</v>
      </c>
      <c r="F11" s="2">
        <v>18200</v>
      </c>
      <c r="G11" s="2">
        <v>20000</v>
      </c>
      <c r="H11" s="3">
        <f t="shared" si="1"/>
        <v>1800</v>
      </c>
      <c r="I11" s="5">
        <f t="shared" ref="I3:I30" si="4">(H11/G11)*100</f>
        <v>9</v>
      </c>
    </row>
    <row r="12" spans="1:9">
      <c r="A12" s="1" t="s">
        <v>13</v>
      </c>
      <c r="B12" s="2">
        <v>800</v>
      </c>
      <c r="C12" s="1">
        <v>0</v>
      </c>
      <c r="D12" s="2">
        <f t="shared" si="3"/>
        <v>0</v>
      </c>
      <c r="E12" s="2">
        <f t="shared" si="0"/>
        <v>800</v>
      </c>
      <c r="F12" s="2">
        <v>700</v>
      </c>
      <c r="G12" s="2">
        <v>800</v>
      </c>
      <c r="H12" s="3">
        <f t="shared" si="1"/>
        <v>100</v>
      </c>
      <c r="I12" s="5">
        <f t="shared" si="4"/>
        <v>12.5</v>
      </c>
    </row>
    <row r="13" spans="1:9">
      <c r="A13" s="1" t="s">
        <v>15</v>
      </c>
      <c r="B13" s="2">
        <v>70</v>
      </c>
      <c r="C13" s="1">
        <v>12</v>
      </c>
      <c r="D13" s="2">
        <f t="shared" si="3"/>
        <v>8.4</v>
      </c>
      <c r="E13" s="2">
        <f t="shared" si="0"/>
        <v>78.400000000000006</v>
      </c>
      <c r="F13" s="2">
        <v>55</v>
      </c>
      <c r="G13" s="2">
        <v>70</v>
      </c>
      <c r="H13" s="3">
        <f t="shared" si="1"/>
        <v>15</v>
      </c>
      <c r="I13" s="5">
        <f t="shared" si="4"/>
        <v>21.428571428571427</v>
      </c>
    </row>
    <row r="14" spans="1:9">
      <c r="A14" s="1" t="s">
        <v>16</v>
      </c>
      <c r="B14" s="2">
        <v>20</v>
      </c>
      <c r="C14" s="1">
        <v>12</v>
      </c>
      <c r="D14" s="2">
        <f t="shared" si="3"/>
        <v>2.4</v>
      </c>
      <c r="E14" s="2">
        <f t="shared" si="0"/>
        <v>22.4</v>
      </c>
      <c r="F14" s="2">
        <v>15</v>
      </c>
      <c r="G14" s="2">
        <v>20</v>
      </c>
      <c r="H14" s="3">
        <f t="shared" si="1"/>
        <v>5</v>
      </c>
      <c r="I14" s="5">
        <f t="shared" si="4"/>
        <v>25</v>
      </c>
    </row>
    <row r="15" spans="1:9">
      <c r="A15" s="1" t="s">
        <v>17</v>
      </c>
      <c r="B15" s="2">
        <v>800</v>
      </c>
      <c r="C15" s="1">
        <v>18</v>
      </c>
      <c r="D15" s="2">
        <f t="shared" si="3"/>
        <v>144</v>
      </c>
      <c r="E15" s="2">
        <f t="shared" si="0"/>
        <v>944</v>
      </c>
      <c r="F15" s="2">
        <v>600</v>
      </c>
      <c r="G15" s="2">
        <v>800</v>
      </c>
      <c r="H15" s="3">
        <f t="shared" si="1"/>
        <v>200</v>
      </c>
      <c r="I15" s="5">
        <f t="shared" si="4"/>
        <v>25</v>
      </c>
    </row>
    <row r="16" spans="1:9">
      <c r="A16" s="1" t="s">
        <v>18</v>
      </c>
      <c r="B16" s="2">
        <v>35</v>
      </c>
      <c r="C16" s="1">
        <v>0</v>
      </c>
      <c r="D16" s="2">
        <f t="shared" ref="D5:D30" si="5">B16*(C16/100)</f>
        <v>0</v>
      </c>
      <c r="E16" s="2">
        <f t="shared" si="0"/>
        <v>35</v>
      </c>
      <c r="F16" s="2">
        <v>30</v>
      </c>
      <c r="G16" s="2">
        <v>35</v>
      </c>
      <c r="H16" s="3">
        <f t="shared" si="1"/>
        <v>5</v>
      </c>
      <c r="I16" s="5">
        <f t="shared" si="4"/>
        <v>14.285714285714285</v>
      </c>
    </row>
    <row r="17" spans="1:9">
      <c r="A17" s="1" t="s">
        <v>19</v>
      </c>
      <c r="B17" s="2">
        <v>120</v>
      </c>
      <c r="C17" s="1">
        <v>5</v>
      </c>
      <c r="D17" s="2">
        <f t="shared" si="5"/>
        <v>6</v>
      </c>
      <c r="E17" s="2">
        <f t="shared" si="0"/>
        <v>126</v>
      </c>
      <c r="F17" s="2">
        <v>100</v>
      </c>
      <c r="G17" s="2">
        <v>120</v>
      </c>
      <c r="H17" s="3">
        <f t="shared" si="1"/>
        <v>20</v>
      </c>
      <c r="I17" s="5">
        <f t="shared" si="4"/>
        <v>16.666666666666664</v>
      </c>
    </row>
    <row r="18" spans="1:9">
      <c r="A18" s="1" t="s">
        <v>20</v>
      </c>
      <c r="B18" s="2">
        <v>180</v>
      </c>
      <c r="C18" s="1">
        <v>5</v>
      </c>
      <c r="D18" s="2">
        <f t="shared" si="5"/>
        <v>9</v>
      </c>
      <c r="E18" s="2">
        <f t="shared" si="0"/>
        <v>189</v>
      </c>
      <c r="F18" s="2">
        <v>165</v>
      </c>
      <c r="G18" s="2">
        <v>180</v>
      </c>
      <c r="H18" s="3">
        <f t="shared" si="1"/>
        <v>15</v>
      </c>
      <c r="I18" s="5">
        <f t="shared" si="4"/>
        <v>8.3333333333333321</v>
      </c>
    </row>
    <row r="19" spans="1:9">
      <c r="A19" s="1" t="s">
        <v>21</v>
      </c>
      <c r="B19" s="2">
        <v>5000</v>
      </c>
      <c r="C19" s="1">
        <v>0</v>
      </c>
      <c r="D19" s="2">
        <f t="shared" si="5"/>
        <v>0</v>
      </c>
      <c r="E19" s="2">
        <f t="shared" si="0"/>
        <v>5000</v>
      </c>
      <c r="F19" s="2">
        <v>5000</v>
      </c>
      <c r="G19" s="2">
        <v>5000</v>
      </c>
      <c r="H19" s="3">
        <f t="shared" si="1"/>
        <v>0</v>
      </c>
      <c r="I19" s="5">
        <f t="shared" si="4"/>
        <v>0</v>
      </c>
    </row>
    <row r="20" spans="1:9">
      <c r="A20" s="1" t="s">
        <v>22</v>
      </c>
      <c r="B20" s="2">
        <v>8000</v>
      </c>
      <c r="C20" s="1">
        <v>5</v>
      </c>
      <c r="D20" s="2">
        <f t="shared" si="5"/>
        <v>400</v>
      </c>
      <c r="E20" s="2">
        <f t="shared" si="0"/>
        <v>8400</v>
      </c>
      <c r="F20" s="2">
        <v>6800</v>
      </c>
      <c r="G20" s="2">
        <v>8000</v>
      </c>
      <c r="H20" s="3">
        <f t="shared" si="1"/>
        <v>1200</v>
      </c>
      <c r="I20" s="5">
        <f t="shared" si="4"/>
        <v>15</v>
      </c>
    </row>
    <row r="21" spans="1:9">
      <c r="A21" s="1" t="s">
        <v>23</v>
      </c>
      <c r="B21" s="2">
        <v>1500</v>
      </c>
      <c r="C21" s="1">
        <v>5</v>
      </c>
      <c r="D21" s="2">
        <f t="shared" si="5"/>
        <v>75</v>
      </c>
      <c r="E21" s="2">
        <f t="shared" si="0"/>
        <v>1575</v>
      </c>
      <c r="F21" s="2">
        <v>1100</v>
      </c>
      <c r="G21" s="2">
        <v>1500</v>
      </c>
      <c r="H21" s="3">
        <f t="shared" si="1"/>
        <v>400</v>
      </c>
      <c r="I21" s="5">
        <f t="shared" si="4"/>
        <v>26.666666666666668</v>
      </c>
    </row>
    <row r="22" spans="1:9">
      <c r="A22" s="1" t="s">
        <v>24</v>
      </c>
      <c r="B22" s="2">
        <v>100</v>
      </c>
      <c r="C22" s="1">
        <v>5</v>
      </c>
      <c r="D22" s="2">
        <f t="shared" si="5"/>
        <v>5</v>
      </c>
      <c r="E22" s="2">
        <f t="shared" si="0"/>
        <v>105</v>
      </c>
      <c r="F22" s="2">
        <v>85</v>
      </c>
      <c r="G22" s="2">
        <v>100</v>
      </c>
      <c r="H22" s="3">
        <f t="shared" si="1"/>
        <v>15</v>
      </c>
      <c r="I22" s="5">
        <f t="shared" si="4"/>
        <v>15</v>
      </c>
    </row>
    <row r="23" spans="1:9">
      <c r="A23" s="1" t="s">
        <v>25</v>
      </c>
      <c r="B23" s="2">
        <v>45000</v>
      </c>
      <c r="C23" s="1">
        <v>18</v>
      </c>
      <c r="D23" s="2">
        <f t="shared" si="5"/>
        <v>8100</v>
      </c>
      <c r="E23" s="2">
        <f t="shared" si="0"/>
        <v>53100</v>
      </c>
      <c r="F23" s="2">
        <v>39000</v>
      </c>
      <c r="G23" s="2">
        <v>45000</v>
      </c>
      <c r="H23" s="3">
        <f t="shared" si="1"/>
        <v>6000</v>
      </c>
      <c r="I23" s="5">
        <f t="shared" si="4"/>
        <v>13.333333333333334</v>
      </c>
    </row>
    <row r="24" spans="1:9">
      <c r="A24" s="1" t="s">
        <v>26</v>
      </c>
      <c r="B24" s="2">
        <v>350</v>
      </c>
      <c r="C24" s="1">
        <v>18</v>
      </c>
      <c r="D24" s="2">
        <f t="shared" si="5"/>
        <v>63</v>
      </c>
      <c r="E24" s="2">
        <f t="shared" si="0"/>
        <v>413</v>
      </c>
      <c r="F24" s="2">
        <v>300</v>
      </c>
      <c r="G24" s="2">
        <v>350</v>
      </c>
      <c r="H24" s="3">
        <f t="shared" si="1"/>
        <v>50</v>
      </c>
      <c r="I24" s="5">
        <f t="shared" si="4"/>
        <v>14.285714285714285</v>
      </c>
    </row>
    <row r="25" spans="1:9">
      <c r="A25" s="1" t="s">
        <v>27</v>
      </c>
      <c r="B25" s="2">
        <v>80000</v>
      </c>
      <c r="C25" s="1">
        <v>18</v>
      </c>
      <c r="D25" s="2">
        <f t="shared" si="5"/>
        <v>14400</v>
      </c>
      <c r="E25" s="2">
        <f t="shared" si="0"/>
        <v>94400</v>
      </c>
      <c r="F25" s="2">
        <v>70000</v>
      </c>
      <c r="G25" s="2">
        <v>80000</v>
      </c>
      <c r="H25" s="3">
        <f t="shared" si="1"/>
        <v>10000</v>
      </c>
      <c r="I25" s="5">
        <f t="shared" si="4"/>
        <v>12.5</v>
      </c>
    </row>
    <row r="26" spans="1:9">
      <c r="A26" s="1" t="s">
        <v>28</v>
      </c>
      <c r="B26" s="2">
        <v>30</v>
      </c>
      <c r="C26" s="1">
        <v>40</v>
      </c>
      <c r="D26" s="2">
        <f t="shared" si="5"/>
        <v>12</v>
      </c>
      <c r="E26" s="2">
        <f t="shared" si="0"/>
        <v>42</v>
      </c>
      <c r="F26" s="2">
        <v>22</v>
      </c>
      <c r="G26" s="2">
        <v>30</v>
      </c>
      <c r="H26" s="3">
        <f t="shared" si="1"/>
        <v>8</v>
      </c>
      <c r="I26" s="5">
        <f t="shared" si="4"/>
        <v>26.666666666666668</v>
      </c>
    </row>
    <row r="27" spans="1:9">
      <c r="A27" s="1" t="s">
        <v>29</v>
      </c>
      <c r="B27" s="2">
        <v>150</v>
      </c>
      <c r="C27" s="1">
        <v>28</v>
      </c>
      <c r="D27" s="2">
        <f t="shared" si="5"/>
        <v>42.000000000000007</v>
      </c>
      <c r="E27" s="2">
        <f t="shared" si="0"/>
        <v>192</v>
      </c>
      <c r="F27" s="2">
        <v>110</v>
      </c>
      <c r="G27" s="2">
        <v>150</v>
      </c>
      <c r="H27" s="3">
        <f t="shared" si="1"/>
        <v>40</v>
      </c>
      <c r="I27" s="5">
        <f t="shared" si="4"/>
        <v>26.666666666666668</v>
      </c>
    </row>
    <row r="28" spans="1:9">
      <c r="A28" s="1" t="s">
        <v>30</v>
      </c>
      <c r="B28" s="2">
        <v>1000</v>
      </c>
      <c r="C28" s="1">
        <v>5</v>
      </c>
      <c r="D28" s="2">
        <f t="shared" si="5"/>
        <v>50</v>
      </c>
      <c r="E28" s="2">
        <f t="shared" si="0"/>
        <v>1050</v>
      </c>
      <c r="F28" s="2">
        <v>1000</v>
      </c>
      <c r="G28" s="2">
        <v>1000</v>
      </c>
      <c r="H28" s="3">
        <f t="shared" si="1"/>
        <v>0</v>
      </c>
      <c r="I28" s="5">
        <f t="shared" si="4"/>
        <v>0</v>
      </c>
    </row>
    <row r="29" spans="1:9">
      <c r="A29" s="1" t="s">
        <v>31</v>
      </c>
      <c r="B29" s="2">
        <v>40000</v>
      </c>
      <c r="C29" s="1">
        <v>5</v>
      </c>
      <c r="D29" s="2">
        <f t="shared" si="5"/>
        <v>2000</v>
      </c>
      <c r="E29" s="2">
        <f t="shared" si="0"/>
        <v>42000</v>
      </c>
      <c r="F29" s="2">
        <v>3000</v>
      </c>
      <c r="G29" s="2">
        <v>40000</v>
      </c>
      <c r="H29" s="3">
        <f t="shared" si="1"/>
        <v>37000</v>
      </c>
      <c r="I29" s="5">
        <f t="shared" si="4"/>
        <v>92.5</v>
      </c>
    </row>
    <row r="30" spans="1:9">
      <c r="A30" s="1" t="s">
        <v>32</v>
      </c>
      <c r="B30" s="2">
        <v>600</v>
      </c>
      <c r="C30" s="1">
        <v>5</v>
      </c>
      <c r="D30" s="2">
        <f t="shared" si="5"/>
        <v>30</v>
      </c>
      <c r="E30" s="2">
        <f t="shared" si="0"/>
        <v>630</v>
      </c>
      <c r="F30" s="2">
        <v>450</v>
      </c>
      <c r="G30" s="2">
        <v>600</v>
      </c>
      <c r="H30" s="3">
        <f t="shared" si="1"/>
        <v>150</v>
      </c>
      <c r="I30" s="5">
        <f t="shared" si="4"/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2026-02-22T08:12:18Z</dcterms:created>
  <dcterms:modified xsi:type="dcterms:W3CDTF">2026-02-22T09:37:46Z</dcterms:modified>
</cp:coreProperties>
</file>